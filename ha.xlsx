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<sst xmlns="http://schemas.openxmlformats.org/spreadsheetml/2006/main" count="60" uniqueCount="29">
  <si>
    <t xml:space="preserve">start_node</t>
  </si>
  <si>
    <t xml:space="preserve">end_node</t>
  </si>
  <si>
    <t xml:space="preserve">length</t>
  </si>
  <si>
    <t xml:space="preserve">discharge</t>
  </si>
  <si>
    <t xml:space="preserve">velocity</t>
  </si>
  <si>
    <t xml:space="preserve">ground_level_start</t>
  </si>
  <si>
    <t xml:space="preserve">ground_level_end</t>
  </si>
  <si>
    <t xml:space="preserve">difference_in_ground_level</t>
  </si>
  <si>
    <t xml:space="preserve">available_residual_head_at_start</t>
  </si>
  <si>
    <t xml:space="preserve">id_of_pipe</t>
  </si>
  <si>
    <t xml:space="preserve">cr_value</t>
  </si>
  <si>
    <t xml:space="preserve">friction_head_loss</t>
  </si>
  <si>
    <t xml:space="preserve">residual_head_at_end</t>
  </si>
  <si>
    <t xml:space="preserve">J-278</t>
  </si>
  <si>
    <t xml:space="preserve">J-348</t>
  </si>
  <si>
    <t xml:space="preserve">J-349</t>
  </si>
  <si>
    <t xml:space="preserve">J-350</t>
  </si>
  <si>
    <t xml:space="preserve">J-351</t>
  </si>
  <si>
    <t xml:space="preserve">J-352</t>
  </si>
  <si>
    <t xml:space="preserve">V11_C10</t>
  </si>
  <si>
    <t xml:space="preserve">V11_C8</t>
  </si>
  <si>
    <t xml:space="preserve">V10_C19</t>
  </si>
  <si>
    <t xml:space="preserve">V11_C9</t>
  </si>
  <si>
    <t xml:space="preserve">V11_C7</t>
  </si>
  <si>
    <t xml:space="preserve">V10_C17</t>
  </si>
  <si>
    <t xml:space="preserve">V10_C16</t>
  </si>
  <si>
    <t xml:space="preserve">PN6</t>
  </si>
  <si>
    <t xml:space="preserve">PN8</t>
  </si>
  <si>
    <t xml:space="preserve">pipe 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</si>
</sst>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4"/>
  <sheetViews>
    <sheetView showFormulas="false" showGridLines="true" showRowColHeaders="true" showZeros="true" rightToLeft="false" tabSelected="true" showOutlineSymbols="true" defaultGridColor="true" view="normal" topLeftCell="A1" colorId="64" zoomScale="96" zoomScaleNormal="96" zoomScalePageLayoutView="100" workbookViewId="0">
      <selection pane="topLeft" activeCell="H19" activeCellId="0" sqref="H19"/>
    </sheetView>
  </sheetViews>
  <sheetFormatPr defaultColWidth="8.55859375" defaultRowHeight="14.25" zeroHeight="false" outlineLevelRow="0" outlineLevelCol="0"/>
  <cols>
    <col collapsed="false" customWidth="true" hidden="false" outlineLevel="0" max="13" min="13" style="0" width="8.89"/>
    <col collapsed="false" customWidth="true" hidden="true" outlineLevel="0" max="21" min="14" style="0" width="10.11"/>
  </cols>
  <sheetData>
    <row r="1" customFormat="false" ht="61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/>
      <c r="O1" s="1"/>
      <c r="P1" s="1"/>
      <c r="Q1" s="3"/>
      <c r="R1" s="4"/>
      <c r="S1" s="4"/>
      <c r="T1" s="4"/>
      <c r="U1" s="4"/>
    </row>
    <row r="2" customFormat="false" ht="14.25" hidden="false" customHeight="false" outlineLevel="0" collapsed="false">
      <c r="A2" s="5" t="s">
        <v>13</v>
      </c>
      <c r="B2" s="5" t="s">
        <v>14</v>
      </c>
      <c r="C2" s="5" t="n">
        <v>400</v>
      </c>
      <c r="D2" s="5" t="n">
        <v>0.081789</v>
      </c>
      <c r="E2" s="5" t="n">
        <f aca="false">D2*4/(PI()*(J2/1000)^2)</f>
        <v>1.66087278125517</v>
      </c>
      <c r="F2" s="5" t="n">
        <v>140</v>
      </c>
      <c r="G2" s="5" t="n">
        <v>141</v>
      </c>
      <c r="H2" s="5" t="n">
        <f aca="false">F2-G2</f>
        <v>-1</v>
      </c>
      <c r="I2" s="5" t="n">
        <v>51</v>
      </c>
      <c r="J2" s="5" t="n">
        <v>250.4</v>
      </c>
      <c r="K2" s="5" t="n">
        <v>1</v>
      </c>
      <c r="L2" s="5" t="n">
        <f aca="false">(C2*(D2/K2)^1.81)/(994.62*((J2/1000)^4.81))</f>
        <v>3.3802550348452</v>
      </c>
      <c r="M2" s="5" t="n">
        <f aca="false">H2+I2-L2</f>
        <v>46.6197449651548</v>
      </c>
      <c r="N2" s="6"/>
      <c r="O2" s="6"/>
      <c r="P2" s="6"/>
      <c r="Q2" s="7"/>
      <c r="R2" s="4"/>
      <c r="S2" s="4"/>
      <c r="T2" s="4"/>
      <c r="U2" s="4"/>
    </row>
    <row r="3" customFormat="false" ht="14.25" hidden="false" customHeight="false" outlineLevel="0" collapsed="false">
      <c r="A3" s="5" t="s">
        <v>14</v>
      </c>
      <c r="B3" s="5" t="s">
        <v>15</v>
      </c>
      <c r="C3" s="5" t="n">
        <v>68</v>
      </c>
      <c r="D3" s="5" t="n">
        <v>0.074268</v>
      </c>
      <c r="E3" s="5" t="n">
        <f aca="false">D3*4/(PI()*(J3/1000)^2)</f>
        <v>1.50814534617441</v>
      </c>
      <c r="F3" s="5" t="n">
        <v>141</v>
      </c>
      <c r="G3" s="5" t="n">
        <v>141</v>
      </c>
      <c r="H3" s="5" t="n">
        <f aca="false">F3-G3</f>
        <v>0</v>
      </c>
      <c r="I3" s="5" t="e">
        <f aca="false">_xlfn.xlookup(A3,B:B,M:M)</f>
        <v>#NAME?</v>
      </c>
      <c r="J3" s="5" t="n">
        <v>250.4</v>
      </c>
      <c r="K3" s="5" t="n">
        <v>1</v>
      </c>
      <c r="L3" s="5" t="n">
        <f aca="false">(C3*(D3/K3)^1.81)/(994.62*((J3/1000)^4.81))</f>
        <v>0.482582704350119</v>
      </c>
      <c r="M3" s="5" t="e">
        <f aca="false">H3+I3-L3</f>
        <v>#NAME?</v>
      </c>
      <c r="N3" s="6"/>
      <c r="O3" s="6"/>
      <c r="P3" s="6"/>
      <c r="Q3" s="7"/>
      <c r="R3" s="4"/>
      <c r="S3" s="4"/>
      <c r="T3" s="4"/>
      <c r="U3" s="4"/>
    </row>
    <row r="4" customFormat="false" ht="14.25" hidden="false" customHeight="false" outlineLevel="0" collapsed="false">
      <c r="A4" s="5" t="s">
        <v>15</v>
      </c>
      <c r="B4" s="5" t="s">
        <v>16</v>
      </c>
      <c r="C4" s="5" t="n">
        <v>445</v>
      </c>
      <c r="D4" s="5" t="n">
        <v>0.060527</v>
      </c>
      <c r="E4" s="5" t="n">
        <f aca="false">D4*4/(PI()*(J4/1000)^2)</f>
        <v>1.54416224564345</v>
      </c>
      <c r="F4" s="5" t="n">
        <v>141</v>
      </c>
      <c r="G4" s="5" t="n">
        <v>142</v>
      </c>
      <c r="H4" s="5" t="n">
        <f aca="false">F4-G4</f>
        <v>-1</v>
      </c>
      <c r="I4" s="5" t="e">
        <f aca="false">_xlfn.xlookup(A4,B:B,M:M)</f>
        <v>#NAME?</v>
      </c>
      <c r="J4" s="5" t="n">
        <v>223.4</v>
      </c>
      <c r="K4" s="5" t="n">
        <v>1</v>
      </c>
      <c r="L4" s="5" t="n">
        <f aca="false">(C4*(D4/K4)^1.81)/(994.62*((J4/1000)^4.81))</f>
        <v>3.77520674788275</v>
      </c>
      <c r="M4" s="5" t="e">
        <f aca="false">H4+I4-L4</f>
        <v>#NAME?</v>
      </c>
      <c r="N4" s="6"/>
      <c r="O4" s="6"/>
      <c r="P4" s="6"/>
      <c r="Q4" s="7"/>
      <c r="R4" s="4"/>
      <c r="S4" s="4"/>
      <c r="T4" s="4"/>
      <c r="U4" s="4"/>
    </row>
    <row r="5" customFormat="false" ht="14.25" hidden="false" customHeight="false" outlineLevel="0" collapsed="false">
      <c r="A5" s="5" t="s">
        <v>16</v>
      </c>
      <c r="B5" s="5" t="s">
        <v>17</v>
      </c>
      <c r="C5" s="5" t="n">
        <v>546</v>
      </c>
      <c r="D5" s="5" t="n">
        <v>0.033099</v>
      </c>
      <c r="E5" s="5" t="n">
        <f aca="false">D5*4/(PI()*(J5/1000)^2)</f>
        <v>1.04311664788468</v>
      </c>
      <c r="F5" s="5" t="n">
        <v>142</v>
      </c>
      <c r="G5" s="5" t="n">
        <v>143</v>
      </c>
      <c r="H5" s="5" t="n">
        <f aca="false">F5-G5</f>
        <v>-1</v>
      </c>
      <c r="I5" s="5" t="e">
        <f aca="false">_xlfn.xlookup(A5,B:B,M:M)</f>
        <v>#NAME?</v>
      </c>
      <c r="J5" s="5" t="n">
        <v>201</v>
      </c>
      <c r="K5" s="5" t="n">
        <v>1</v>
      </c>
      <c r="L5" s="5" t="n">
        <f aca="false">(C5*(D5/K5)^1.81)/(994.62*((J5/1000)^4.81))</f>
        <v>2.58242274762665</v>
      </c>
      <c r="M5" s="5" t="e">
        <f aca="false">H5+I5-L5</f>
        <v>#NAME?</v>
      </c>
      <c r="N5" s="8" t="n">
        <v>32</v>
      </c>
      <c r="O5" s="9" t="b">
        <f aca="false">FALSE()</f>
        <v>0</v>
      </c>
      <c r="P5" s="9" t="b">
        <f aca="false">FALSE()</f>
        <v>0</v>
      </c>
      <c r="Q5" s="8" t="n">
        <v>1</v>
      </c>
      <c r="R5" s="8" t="n">
        <v>1300</v>
      </c>
      <c r="S5" s="8"/>
      <c r="T5" s="10" t="n">
        <v>32</v>
      </c>
      <c r="U5" s="10" t="n">
        <v>0</v>
      </c>
    </row>
    <row r="6" customFormat="false" ht="14.25" hidden="false" customHeight="false" outlineLevel="0" collapsed="false">
      <c r="A6" s="5" t="s">
        <v>17</v>
      </c>
      <c r="B6" s="5" t="s">
        <v>18</v>
      </c>
      <c r="C6" s="5" t="n">
        <v>166</v>
      </c>
      <c r="D6" s="5" t="n">
        <v>0.018161</v>
      </c>
      <c r="E6" s="5" t="n">
        <f aca="false">D6*4/(PI()*(J6/1000)^2)</f>
        <v>0.89428879281822</v>
      </c>
      <c r="F6" s="5" t="n">
        <v>143</v>
      </c>
      <c r="G6" s="5" t="n">
        <v>144</v>
      </c>
      <c r="H6" s="5" t="n">
        <f aca="false">F6-G6</f>
        <v>-1</v>
      </c>
      <c r="I6" s="5" t="e">
        <f aca="false">_xlfn.xlookup(A6,B:B,M:M)</f>
        <v>#NAME?</v>
      </c>
      <c r="J6" s="5" t="n">
        <v>160.8</v>
      </c>
      <c r="K6" s="5" t="n">
        <v>1</v>
      </c>
      <c r="L6" s="5" t="n">
        <f aca="false">(C6*(D6/K6)^1.81)/(994.62*((J6/1000)^4.81))</f>
        <v>0.774921997561535</v>
      </c>
      <c r="M6" s="5" t="e">
        <f aca="false">H6+I6-L6</f>
        <v>#NAME?</v>
      </c>
      <c r="N6" s="8" t="n">
        <v>49</v>
      </c>
      <c r="O6" s="9" t="b">
        <f aca="false">FALSE()</f>
        <v>0</v>
      </c>
      <c r="P6" s="9" t="b">
        <f aca="false">FALSE()</f>
        <v>0</v>
      </c>
      <c r="Q6" s="8" t="n">
        <v>1</v>
      </c>
      <c r="R6" s="8" t="n">
        <v>1300</v>
      </c>
      <c r="S6" s="8" t="n">
        <v>0</v>
      </c>
      <c r="T6" s="10" t="n">
        <v>49</v>
      </c>
      <c r="U6" s="10" t="n">
        <v>0</v>
      </c>
    </row>
    <row r="7" customFormat="false" ht="14.25" hidden="false" customHeight="false" outlineLevel="0" collapsed="false">
      <c r="A7" s="5" t="s">
        <v>18</v>
      </c>
      <c r="B7" s="5" t="s">
        <v>19</v>
      </c>
      <c r="C7" s="5" t="n">
        <v>368</v>
      </c>
      <c r="D7" s="5" t="n">
        <v>0.010616</v>
      </c>
      <c r="E7" s="5" t="n">
        <f aca="false">D7*4/(PI()*(J7/1000)^2)</f>
        <v>1.44251492031245</v>
      </c>
      <c r="F7" s="5" t="n">
        <v>144</v>
      </c>
      <c r="G7" s="5" t="n">
        <v>145</v>
      </c>
      <c r="H7" s="5" t="n">
        <f aca="false">F7-G7</f>
        <v>-1</v>
      </c>
      <c r="I7" s="5" t="e">
        <f aca="false">_xlfn.xlookup(A7,B:B,M:M)</f>
        <v>#NAME?</v>
      </c>
      <c r="J7" s="5" t="n">
        <v>96.8</v>
      </c>
      <c r="K7" s="5" t="n">
        <v>1</v>
      </c>
      <c r="L7" s="5" t="n">
        <f aca="false">(C7*(D7/K7)^1.81)/(994.62*((J7/1000)^4.81))</f>
        <v>7.46654022259542</v>
      </c>
      <c r="M7" s="5" t="e">
        <f aca="false">H7+I7-L7</f>
        <v>#NAME?</v>
      </c>
      <c r="N7" s="8" t="n">
        <v>49</v>
      </c>
      <c r="O7" s="9" t="b">
        <f aca="false">FALSE()</f>
        <v>0</v>
      </c>
      <c r="P7" s="9" t="b">
        <f aca="false">FALSE()</f>
        <v>0</v>
      </c>
      <c r="Q7" s="8" t="n">
        <v>1</v>
      </c>
      <c r="R7" s="8" t="n">
        <v>1300</v>
      </c>
      <c r="S7" s="8" t="n">
        <v>0</v>
      </c>
      <c r="T7" s="10" t="n">
        <v>37</v>
      </c>
      <c r="U7" s="10" t="n">
        <v>0</v>
      </c>
    </row>
    <row r="8" customFormat="false" ht="14.25" hidden="false" customHeight="false" outlineLevel="0" collapsed="false">
      <c r="A8" s="5" t="s">
        <v>18</v>
      </c>
      <c r="B8" s="5" t="s">
        <v>20</v>
      </c>
      <c r="C8" s="5" t="n">
        <v>259</v>
      </c>
      <c r="D8" s="5" t="n">
        <v>0.007545</v>
      </c>
      <c r="E8" s="5" t="n">
        <f aca="false">D8*4/(PI()*(J8/1000)^2)</f>
        <v>1.0252237258626</v>
      </c>
      <c r="F8" s="5" t="n">
        <v>144</v>
      </c>
      <c r="G8" s="5" t="n">
        <v>145</v>
      </c>
      <c r="H8" s="5" t="n">
        <f aca="false">F8-G8</f>
        <v>-1</v>
      </c>
      <c r="I8" s="5" t="e">
        <f aca="false">_xlfn.xlookup(A8,B:B,M:M)</f>
        <v>#NAME?</v>
      </c>
      <c r="J8" s="5" t="n">
        <v>96.8</v>
      </c>
      <c r="K8" s="5" t="n">
        <v>1</v>
      </c>
      <c r="L8" s="5" t="n">
        <f aca="false">(C8*(D8/K8)^1.81)/(994.62*((J8/1000)^4.81))</f>
        <v>2.83233969772578</v>
      </c>
      <c r="M8" s="5" t="e">
        <f aca="false">H8+I8-L8</f>
        <v>#NAME?</v>
      </c>
      <c r="N8" s="8" t="n">
        <v>46</v>
      </c>
      <c r="O8" s="9" t="b">
        <f aca="false">FALSE()</f>
        <v>0</v>
      </c>
      <c r="P8" s="9" t="b">
        <f aca="false">FALSE()</f>
        <v>0</v>
      </c>
      <c r="Q8" s="8" t="n">
        <v>1</v>
      </c>
      <c r="R8" s="8" t="n">
        <v>1300</v>
      </c>
      <c r="S8" s="8" t="n">
        <v>0</v>
      </c>
      <c r="T8" s="10" t="n">
        <v>46</v>
      </c>
      <c r="U8" s="10" t="n">
        <v>0</v>
      </c>
    </row>
    <row r="9" customFormat="false" ht="14.25" hidden="false" customHeight="false" outlineLevel="0" collapsed="false">
      <c r="A9" s="5" t="s">
        <v>14</v>
      </c>
      <c r="B9" s="5" t="s">
        <v>21</v>
      </c>
      <c r="C9" s="5" t="n">
        <v>383</v>
      </c>
      <c r="D9" s="5" t="n">
        <v>0.007521</v>
      </c>
      <c r="E9" s="5" t="n">
        <f aca="false">D9*4/(PI()*(J9/1000)^2)</f>
        <v>1.02196257683401</v>
      </c>
      <c r="F9" s="5" t="n">
        <v>141</v>
      </c>
      <c r="G9" s="5" t="n">
        <v>141</v>
      </c>
      <c r="H9" s="5" t="n">
        <f aca="false">F9-G9</f>
        <v>0</v>
      </c>
      <c r="I9" s="5" t="e">
        <f aca="false">_xlfn.xlookup(A9,B:B,M:M)</f>
        <v>#NAME?</v>
      </c>
      <c r="J9" s="5" t="n">
        <v>96.8</v>
      </c>
      <c r="K9" s="5" t="n">
        <v>1</v>
      </c>
      <c r="L9" s="5" t="n">
        <f aca="false">(C9*(D9/K9)^1.81)/(994.62*((J9/1000)^4.81))</f>
        <v>4.16428009425356</v>
      </c>
      <c r="M9" s="5" t="e">
        <f aca="false">H9+I9-L9</f>
        <v>#NAME?</v>
      </c>
      <c r="N9" s="8" t="n">
        <v>50</v>
      </c>
      <c r="O9" s="9" t="b">
        <f aca="false">FALSE()</f>
        <v>0</v>
      </c>
      <c r="P9" s="9" t="b">
        <f aca="false">FALSE()</f>
        <v>0</v>
      </c>
      <c r="Q9" s="8" t="n">
        <v>1</v>
      </c>
      <c r="R9" s="8" t="n">
        <v>1300</v>
      </c>
      <c r="S9" s="8" t="n">
        <v>0</v>
      </c>
      <c r="T9" s="10" t="n">
        <v>50</v>
      </c>
      <c r="U9" s="10" t="n">
        <v>0</v>
      </c>
    </row>
    <row r="10" customFormat="false" ht="14.25" hidden="false" customHeight="false" outlineLevel="0" collapsed="false">
      <c r="A10" s="5" t="s">
        <v>17</v>
      </c>
      <c r="B10" s="5" t="s">
        <v>22</v>
      </c>
      <c r="C10" s="5" t="n">
        <v>91</v>
      </c>
      <c r="D10" s="5" t="n">
        <v>0.007516</v>
      </c>
      <c r="E10" s="5" t="n">
        <f aca="false">D10*4/(PI()*(J10/1000)^2)</f>
        <v>1.02128317078639</v>
      </c>
      <c r="F10" s="5" t="n">
        <v>143</v>
      </c>
      <c r="G10" s="5" t="n">
        <v>142</v>
      </c>
      <c r="H10" s="5" t="n">
        <f aca="false">F10-G10</f>
        <v>1</v>
      </c>
      <c r="I10" s="5" t="e">
        <f aca="false">_xlfn.xlookup(A10,B:B,M:M)</f>
        <v>#NAME?</v>
      </c>
      <c r="J10" s="5" t="n">
        <v>96.8</v>
      </c>
      <c r="K10" s="5" t="n">
        <v>1</v>
      </c>
      <c r="L10" s="5" t="n">
        <f aca="false">(C10*(D10/K10)^1.81)/(994.62*((J10/1000)^4.81))</f>
        <v>0.988234001066137</v>
      </c>
      <c r="M10" s="5" t="e">
        <f aca="false">H10+I10-L10</f>
        <v>#NAME?</v>
      </c>
      <c r="N10" s="8" t="n">
        <v>68</v>
      </c>
      <c r="O10" s="9" t="b">
        <f aca="false">FALSE()</f>
        <v>0</v>
      </c>
      <c r="P10" s="9" t="b">
        <f aca="false">FALSE()</f>
        <v>0</v>
      </c>
      <c r="Q10" s="8" t="n">
        <v>1</v>
      </c>
      <c r="R10" s="8" t="n">
        <v>1300</v>
      </c>
      <c r="S10" s="8" t="n">
        <v>0</v>
      </c>
      <c r="T10" s="10" t="n">
        <v>68</v>
      </c>
      <c r="U10" s="10" t="n">
        <v>0</v>
      </c>
    </row>
    <row r="11" customFormat="false" ht="14.25" hidden="false" customHeight="false" outlineLevel="0" collapsed="false">
      <c r="A11" s="5" t="s">
        <v>17</v>
      </c>
      <c r="B11" s="5" t="s">
        <v>23</v>
      </c>
      <c r="C11" s="5" t="n">
        <v>287</v>
      </c>
      <c r="D11" s="5" t="n">
        <v>0.007421</v>
      </c>
      <c r="E11" s="5" t="n">
        <f aca="false">D11*4/(PI()*(J11/1000)^2)</f>
        <v>1.00837445588156</v>
      </c>
      <c r="F11" s="5" t="n">
        <v>143</v>
      </c>
      <c r="G11" s="5" t="n">
        <v>145</v>
      </c>
      <c r="H11" s="5" t="n">
        <f aca="false">F11-G11</f>
        <v>-2</v>
      </c>
      <c r="I11" s="5" t="e">
        <f aca="false">_xlfn.xlookup(A11,B:B,M:M)</f>
        <v>#NAME?</v>
      </c>
      <c r="J11" s="5" t="n">
        <v>96.8</v>
      </c>
      <c r="K11" s="5" t="n">
        <v>1</v>
      </c>
      <c r="L11" s="5" t="n">
        <f aca="false">(C11*(D11/K11)^1.81)/(994.62*((J11/1000)^4.81))</f>
        <v>3.04579901156206</v>
      </c>
      <c r="M11" s="5" t="e">
        <f aca="false">H11+I11-L11</f>
        <v>#NAME?</v>
      </c>
      <c r="N11" s="8" t="n">
        <v>68</v>
      </c>
      <c r="O11" s="9" t="b">
        <f aca="false">FALSE()</f>
        <v>0</v>
      </c>
      <c r="P11" s="9" t="b">
        <f aca="false">FALSE()</f>
        <v>0</v>
      </c>
      <c r="Q11" s="8" t="n">
        <v>1</v>
      </c>
      <c r="R11" s="8" t="n">
        <v>1300</v>
      </c>
      <c r="S11" s="8" t="n">
        <v>0</v>
      </c>
      <c r="T11" s="10" t="n">
        <v>66</v>
      </c>
      <c r="U11" s="10" t="n">
        <v>0</v>
      </c>
    </row>
    <row r="12" customFormat="false" ht="14.25" hidden="false" customHeight="false" outlineLevel="0" collapsed="false">
      <c r="A12" s="5" t="s">
        <v>15</v>
      </c>
      <c r="B12" s="5" t="s">
        <v>24</v>
      </c>
      <c r="C12" s="5" t="n">
        <v>14</v>
      </c>
      <c r="D12" s="5" t="n">
        <v>0.006612</v>
      </c>
      <c r="E12" s="5" t="n">
        <f aca="false">D12*4/(PI()*(J12/1000)^2)</f>
        <v>0.898446557376214</v>
      </c>
      <c r="F12" s="5" t="n">
        <v>141</v>
      </c>
      <c r="G12" s="5" t="n">
        <v>141</v>
      </c>
      <c r="H12" s="5" t="n">
        <f aca="false">F12-G12</f>
        <v>0</v>
      </c>
      <c r="I12" s="5" t="e">
        <f aca="false">_xlfn.xlookup(A12,B:B,M:M)</f>
        <v>#NAME?</v>
      </c>
      <c r="J12" s="5" t="n">
        <v>96.8</v>
      </c>
      <c r="K12" s="5" t="n">
        <v>1</v>
      </c>
      <c r="L12" s="5" t="n">
        <f aca="false">(C12*(D12/K12)^1.81)/(994.62*((J12/1000)^4.81))</f>
        <v>0.120562661968526</v>
      </c>
      <c r="M12" s="5" t="e">
        <f aca="false">H12+I12-L12</f>
        <v>#NAME?</v>
      </c>
      <c r="N12" s="8" t="n">
        <v>66</v>
      </c>
      <c r="O12" s="9" t="b">
        <f aca="false">FALSE()</f>
        <v>0</v>
      </c>
      <c r="P12" s="9" t="b">
        <f aca="false">FALSE()</f>
        <v>0</v>
      </c>
      <c r="Q12" s="8" t="n">
        <v>1</v>
      </c>
      <c r="R12" s="8" t="n">
        <v>1300</v>
      </c>
      <c r="S12" s="8" t="n">
        <v>0</v>
      </c>
      <c r="T12" s="10" t="n">
        <v>65</v>
      </c>
      <c r="U12" s="10" t="n">
        <v>0</v>
      </c>
    </row>
    <row r="13" customFormat="false" ht="14.25" hidden="false" customHeight="false" outlineLevel="0" collapsed="false">
      <c r="A13" s="5" t="s">
        <v>15</v>
      </c>
      <c r="B13" s="5" t="s">
        <v>25</v>
      </c>
      <c r="C13" s="5" t="n">
        <v>467</v>
      </c>
      <c r="D13" s="5" t="n">
        <v>0.007129</v>
      </c>
      <c r="E13" s="5" t="n">
        <f aca="false">D13*4/(PI()*(J13/1000)^2)</f>
        <v>0.968697142700398</v>
      </c>
      <c r="F13" s="5" t="n">
        <v>141</v>
      </c>
      <c r="G13" s="5" t="n">
        <v>141</v>
      </c>
      <c r="H13" s="5" t="n">
        <f aca="false">F13-G13</f>
        <v>0</v>
      </c>
      <c r="I13" s="5" t="e">
        <f aca="false">_xlfn.xlookup(A13,B:B,M:M)</f>
        <v>#NAME?</v>
      </c>
      <c r="J13" s="5" t="n">
        <v>96.8</v>
      </c>
      <c r="K13" s="5" t="n">
        <v>1</v>
      </c>
      <c r="L13" s="5" t="n">
        <f aca="false">(C13*(D13/K13)^1.81)/(994.62*((J13/1000)^4.81))</f>
        <v>4.60872735473449</v>
      </c>
      <c r="M13" s="5" t="e">
        <f aca="false">H13+I13-L13</f>
        <v>#NAME?</v>
      </c>
      <c r="N13" s="8" t="n">
        <v>65</v>
      </c>
      <c r="O13" s="9" t="b">
        <f aca="false">FALSE()</f>
        <v>0</v>
      </c>
      <c r="P13" s="9" t="b">
        <f aca="false">FALSE()</f>
        <v>0</v>
      </c>
      <c r="Q13" s="8" t="n">
        <v>1</v>
      </c>
      <c r="R13" s="8" t="n">
        <v>1300</v>
      </c>
      <c r="S13" s="8" t="n">
        <v>0</v>
      </c>
      <c r="T13" s="10" t="n">
        <v>62</v>
      </c>
      <c r="U13" s="10" t="n">
        <v>0</v>
      </c>
    </row>
    <row r="14" customFormat="false" ht="14.25" hidden="false" customHeight="false" outlineLevel="0" collapsed="false">
      <c r="N14" s="8" t="n">
        <v>67</v>
      </c>
      <c r="O14" s="9" t="b">
        <f aca="false">FALSE()</f>
        <v>0</v>
      </c>
      <c r="P14" s="9" t="b">
        <f aca="false">FALSE()</f>
        <v>0</v>
      </c>
      <c r="Q14" s="8" t="n">
        <v>1</v>
      </c>
      <c r="R14" s="8" t="n">
        <v>1300</v>
      </c>
      <c r="S14" s="8" t="n">
        <v>0</v>
      </c>
      <c r="T14" s="10" t="n">
        <v>67</v>
      </c>
      <c r="U14" s="10" t="n">
        <v>0</v>
      </c>
    </row>
    <row r="15" customFormat="false" ht="14.25" hidden="false" customHeight="false" outlineLevel="0" collapsed="false">
      <c r="N15" s="8" t="n">
        <v>67</v>
      </c>
      <c r="O15" s="9" t="b">
        <f aca="false">FALSE()</f>
        <v>0</v>
      </c>
      <c r="P15" s="9" t="b">
        <f aca="false">FALSE()</f>
        <v>0</v>
      </c>
      <c r="Q15" s="8" t="n">
        <v>1</v>
      </c>
      <c r="R15" s="8" t="n">
        <v>1200</v>
      </c>
      <c r="S15" s="8" t="n">
        <v>100</v>
      </c>
      <c r="T15" s="10" t="n">
        <v>60</v>
      </c>
      <c r="U15" s="10" t="n">
        <v>0</v>
      </c>
    </row>
    <row r="16" customFormat="false" ht="14.25" hidden="false" customHeight="false" outlineLevel="0" collapsed="false">
      <c r="N16" s="8" t="n">
        <v>69</v>
      </c>
      <c r="O16" s="9" t="b">
        <f aca="false">FALSE()</f>
        <v>0</v>
      </c>
      <c r="P16" s="9" t="b">
        <f aca="false">FALSE()</f>
        <v>0</v>
      </c>
      <c r="Q16" s="8" t="n">
        <v>1</v>
      </c>
      <c r="R16" s="8" t="n">
        <v>1200</v>
      </c>
      <c r="S16" s="8" t="n">
        <v>0</v>
      </c>
      <c r="T16" s="10" t="n">
        <v>68</v>
      </c>
      <c r="U16" s="10" t="n">
        <v>0</v>
      </c>
    </row>
    <row r="17" customFormat="false" ht="14.25" hidden="false" customHeight="false" outlineLevel="0" collapsed="false">
      <c r="N17" s="8" t="n">
        <v>69</v>
      </c>
      <c r="O17" s="9" t="b">
        <f aca="false">FALSE()</f>
        <v>0</v>
      </c>
      <c r="P17" s="9" t="b">
        <f aca="false">FALSE()</f>
        <v>0</v>
      </c>
      <c r="Q17" s="8" t="n">
        <v>1</v>
      </c>
      <c r="R17" s="8" t="n">
        <v>1200</v>
      </c>
      <c r="S17" s="8" t="n">
        <v>0</v>
      </c>
      <c r="T17" s="10" t="n">
        <v>60</v>
      </c>
      <c r="U17" s="10" t="n">
        <v>0</v>
      </c>
    </row>
    <row r="18" customFormat="false" ht="14.25" hidden="false" customHeight="false" outlineLevel="0" collapsed="false">
      <c r="N18" s="8" t="n">
        <v>70</v>
      </c>
      <c r="O18" s="9" t="b">
        <f aca="false">FALSE()</f>
        <v>0</v>
      </c>
      <c r="P18" s="9" t="b">
        <f aca="false">FALSE()</f>
        <v>0</v>
      </c>
      <c r="Q18" s="8" t="n">
        <v>1</v>
      </c>
      <c r="R18" s="8" t="n">
        <v>1200</v>
      </c>
      <c r="S18" s="8" t="n">
        <v>0</v>
      </c>
      <c r="T18" s="10" t="n">
        <v>70</v>
      </c>
      <c r="U18" s="10" t="n">
        <v>0</v>
      </c>
    </row>
    <row r="19" customFormat="false" ht="14.25" hidden="false" customHeight="false" outlineLevel="0" collapsed="false">
      <c r="N19" s="8" t="n">
        <v>70</v>
      </c>
      <c r="O19" s="9" t="b">
        <f aca="false">FALSE()</f>
        <v>0</v>
      </c>
      <c r="P19" s="9" t="b">
        <f aca="false">FALSE()</f>
        <v>0</v>
      </c>
      <c r="Q19" s="8" t="n">
        <v>1</v>
      </c>
      <c r="R19" s="8" t="n">
        <v>1000</v>
      </c>
      <c r="S19" s="8" t="n">
        <v>200</v>
      </c>
      <c r="T19" s="10" t="n">
        <v>68</v>
      </c>
      <c r="U19" s="10" t="n">
        <v>0</v>
      </c>
    </row>
    <row r="20" customFormat="false" ht="14.25" hidden="false" customHeight="false" outlineLevel="0" collapsed="false">
      <c r="N20" s="8" t="n">
        <v>68</v>
      </c>
      <c r="O20" s="9" t="b">
        <f aca="false">FALSE()</f>
        <v>0</v>
      </c>
      <c r="P20" s="9" t="b">
        <f aca="false">FALSE()</f>
        <v>0</v>
      </c>
      <c r="Q20" s="8" t="n">
        <v>1</v>
      </c>
      <c r="R20" s="8" t="n">
        <v>1000</v>
      </c>
      <c r="S20" s="8" t="n">
        <v>0</v>
      </c>
      <c r="T20" s="10" t="n">
        <v>66</v>
      </c>
      <c r="U20" s="10" t="n">
        <v>0</v>
      </c>
    </row>
    <row r="21" customFormat="false" ht="14.25" hidden="false" customHeight="false" outlineLevel="0" collapsed="false">
      <c r="N21" s="8" t="n">
        <v>69</v>
      </c>
      <c r="O21" s="9" t="b">
        <f aca="false">FALSE()</f>
        <v>0</v>
      </c>
      <c r="P21" s="9" t="b">
        <f aca="false">FALSE()</f>
        <v>0</v>
      </c>
      <c r="Q21" s="8" t="n">
        <v>1</v>
      </c>
      <c r="R21" s="8" t="n">
        <v>1000</v>
      </c>
      <c r="S21" s="8" t="n">
        <v>0</v>
      </c>
      <c r="T21" s="10" t="n">
        <v>69</v>
      </c>
      <c r="U21" s="10" t="n">
        <v>0</v>
      </c>
    </row>
    <row r="22" customFormat="false" ht="14.25" hidden="false" customHeight="false" outlineLevel="0" collapsed="false">
      <c r="N22" s="8" t="n">
        <v>69</v>
      </c>
      <c r="O22" s="9" t="b">
        <f aca="false">FALSE()</f>
        <v>0</v>
      </c>
      <c r="P22" s="9" t="b">
        <f aca="false">FALSE()</f>
        <v>0</v>
      </c>
      <c r="Q22" s="8" t="n">
        <v>1</v>
      </c>
      <c r="R22" s="8" t="n">
        <v>1000</v>
      </c>
      <c r="S22" s="8" t="n">
        <v>0</v>
      </c>
      <c r="T22" s="10" t="n">
        <v>61</v>
      </c>
      <c r="U22" s="10" t="n">
        <v>0</v>
      </c>
    </row>
    <row r="23" customFormat="false" ht="14.25" hidden="false" customHeight="false" outlineLevel="0" collapsed="false">
      <c r="N23" s="8" t="n">
        <v>61</v>
      </c>
      <c r="O23" s="9" t="b">
        <f aca="false">FALSE()</f>
        <v>0</v>
      </c>
      <c r="P23" s="9" t="b">
        <f aca="false">FALSE()</f>
        <v>0</v>
      </c>
      <c r="Q23" s="8" t="n">
        <v>1</v>
      </c>
      <c r="R23" s="8" t="n">
        <v>1000</v>
      </c>
      <c r="S23" s="8" t="n">
        <v>0</v>
      </c>
      <c r="T23" s="10" t="n">
        <v>54</v>
      </c>
      <c r="U23" s="10" t="n">
        <v>0</v>
      </c>
    </row>
    <row r="24" customFormat="false" ht="14.25" hidden="false" customHeight="false" outlineLevel="0" collapsed="false">
      <c r="N24" s="8" t="n">
        <v>55</v>
      </c>
      <c r="O24" s="8" t="s">
        <v>26</v>
      </c>
      <c r="P24" s="8" t="s">
        <v>26</v>
      </c>
      <c r="Q24" s="8" t="n">
        <v>1</v>
      </c>
      <c r="R24" s="8" t="n">
        <v>125</v>
      </c>
      <c r="S24" s="8" t="n">
        <v>860</v>
      </c>
      <c r="T24" s="10" t="n">
        <v>55</v>
      </c>
      <c r="U24" s="10" t="n">
        <v>0</v>
      </c>
    </row>
    <row r="25" customFormat="false" ht="14.25" hidden="false" customHeight="false" outlineLevel="0" collapsed="false">
      <c r="N25" s="8" t="n">
        <v>55</v>
      </c>
      <c r="O25" s="8" t="s">
        <v>26</v>
      </c>
      <c r="P25" s="8" t="s">
        <v>26</v>
      </c>
      <c r="Q25" s="8" t="n">
        <v>1</v>
      </c>
      <c r="R25" s="8" t="n">
        <v>125</v>
      </c>
      <c r="S25" s="8" t="n">
        <v>0</v>
      </c>
      <c r="T25" s="10" t="n">
        <v>44</v>
      </c>
      <c r="U25" s="10" t="n">
        <v>0</v>
      </c>
    </row>
    <row r="26" customFormat="false" ht="14.25" hidden="false" customHeight="false" outlineLevel="0" collapsed="false">
      <c r="N26" s="8" t="n">
        <v>44</v>
      </c>
      <c r="O26" s="8" t="s">
        <v>26</v>
      </c>
      <c r="P26" s="8" t="s">
        <v>26</v>
      </c>
      <c r="Q26" s="8" t="n">
        <v>1</v>
      </c>
      <c r="R26" s="8" t="n">
        <v>96.8</v>
      </c>
      <c r="S26" s="8" t="n">
        <v>30</v>
      </c>
      <c r="T26" s="10" t="n">
        <v>41</v>
      </c>
      <c r="U26" s="10" t="n">
        <v>0</v>
      </c>
    </row>
    <row r="27" customFormat="false" ht="14.25" hidden="false" customHeight="false" outlineLevel="0" collapsed="false">
      <c r="N27" s="8" t="n">
        <v>49</v>
      </c>
      <c r="O27" s="8" t="s">
        <v>26</v>
      </c>
      <c r="P27" s="8" t="s">
        <v>26</v>
      </c>
      <c r="Q27" s="8" t="n">
        <v>1</v>
      </c>
      <c r="R27" s="8" t="n">
        <v>96.8</v>
      </c>
      <c r="S27" s="8" t="n">
        <v>1190</v>
      </c>
      <c r="T27" s="10" t="n">
        <v>29</v>
      </c>
      <c r="U27" s="10" t="n">
        <v>0</v>
      </c>
    </row>
    <row r="28" customFormat="false" ht="14.25" hidden="false" customHeight="false" outlineLevel="0" collapsed="false">
      <c r="N28" s="8" t="n">
        <v>49</v>
      </c>
      <c r="O28" s="8" t="s">
        <v>26</v>
      </c>
      <c r="P28" s="8" t="s">
        <v>26</v>
      </c>
      <c r="Q28" s="8" t="n">
        <v>1</v>
      </c>
      <c r="R28" s="8" t="n">
        <v>96.8</v>
      </c>
      <c r="S28" s="8" t="n">
        <v>1190</v>
      </c>
      <c r="T28" s="10" t="n">
        <v>41</v>
      </c>
      <c r="U28" s="10" t="n">
        <v>0</v>
      </c>
    </row>
    <row r="29" customFormat="false" ht="14.25" hidden="false" customHeight="false" outlineLevel="0" collapsed="false">
      <c r="N29" s="8" t="n">
        <v>41</v>
      </c>
      <c r="O29" s="8" t="s">
        <v>26</v>
      </c>
      <c r="P29" s="8" t="s">
        <v>26</v>
      </c>
      <c r="Q29" s="8" t="n">
        <v>1</v>
      </c>
      <c r="R29" s="8" t="n">
        <v>96.8</v>
      </c>
      <c r="S29" s="8" t="n">
        <v>0</v>
      </c>
      <c r="T29" s="10" t="n">
        <v>38</v>
      </c>
      <c r="U29" s="10" t="n">
        <v>0</v>
      </c>
    </row>
    <row r="30" customFormat="false" ht="14.25" hidden="false" customHeight="false" outlineLevel="0" collapsed="false">
      <c r="N30" s="8" t="n">
        <v>59</v>
      </c>
      <c r="O30" s="8" t="s">
        <v>26</v>
      </c>
      <c r="P30" s="8" t="s">
        <v>26</v>
      </c>
      <c r="Q30" s="8" t="n">
        <v>1</v>
      </c>
      <c r="R30" s="8" t="n">
        <v>96.8</v>
      </c>
      <c r="S30" s="8" t="n">
        <v>1190</v>
      </c>
      <c r="T30" s="10" t="n">
        <v>59</v>
      </c>
      <c r="U30" s="10" t="n">
        <v>0</v>
      </c>
    </row>
    <row r="31" customFormat="false" ht="14.25" hidden="false" customHeight="false" outlineLevel="0" collapsed="false">
      <c r="N31" s="8" t="n">
        <v>60</v>
      </c>
      <c r="O31" s="8" t="s">
        <v>27</v>
      </c>
      <c r="P31" s="8" t="s">
        <v>27</v>
      </c>
      <c r="Q31" s="8" t="n">
        <v>1</v>
      </c>
      <c r="R31" s="8" t="n">
        <v>95.4</v>
      </c>
      <c r="S31" s="8" t="n">
        <v>1190</v>
      </c>
      <c r="T31" s="10" t="n">
        <v>60</v>
      </c>
      <c r="U31" s="10" t="n">
        <v>0</v>
      </c>
    </row>
    <row r="32" customFormat="false" ht="14.25" hidden="false" customHeight="false" outlineLevel="0" collapsed="false">
      <c r="N32" s="8" t="n">
        <v>55</v>
      </c>
      <c r="O32" s="8" t="s">
        <v>26</v>
      </c>
      <c r="P32" s="8" t="s">
        <v>26</v>
      </c>
      <c r="Q32" s="8" t="n">
        <v>1</v>
      </c>
      <c r="R32" s="8" t="n">
        <v>96.8</v>
      </c>
      <c r="S32" s="8" t="n">
        <v>30</v>
      </c>
      <c r="T32" s="10" t="n">
        <v>53</v>
      </c>
      <c r="U32" s="10" t="n">
        <v>0</v>
      </c>
    </row>
    <row r="33" customFormat="false" ht="14.25" hidden="false" customHeight="false" outlineLevel="0" collapsed="false">
      <c r="N33" s="8" t="n">
        <v>61</v>
      </c>
      <c r="O33" s="8" t="s">
        <v>27</v>
      </c>
      <c r="P33" s="8" t="s">
        <v>27</v>
      </c>
      <c r="Q33" s="8" t="n">
        <v>1</v>
      </c>
      <c r="R33" s="8" t="n">
        <v>95.4</v>
      </c>
      <c r="S33" s="8" t="n">
        <v>890</v>
      </c>
      <c r="T33" s="10" t="n">
        <v>55</v>
      </c>
      <c r="U33" s="10" t="n">
        <v>0</v>
      </c>
    </row>
    <row r="34" customFormat="false" ht="14.25" hidden="false" customHeight="false" outlineLevel="0" collapsed="false">
      <c r="N34" s="8" t="n">
        <v>68</v>
      </c>
      <c r="O34" s="8" t="s">
        <v>27</v>
      </c>
      <c r="P34" s="8" t="s">
        <v>27</v>
      </c>
      <c r="Q34" s="8" t="n">
        <v>1</v>
      </c>
      <c r="R34" s="8" t="n">
        <v>95.4</v>
      </c>
      <c r="S34" s="8" t="n">
        <v>1190</v>
      </c>
      <c r="T34" s="10" t="n">
        <v>63</v>
      </c>
      <c r="U34" s="1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7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B1" activeCellId="0" sqref="B1"/>
    </sheetView>
  </sheetViews>
  <sheetFormatPr defaultColWidth="8.55859375" defaultRowHeight="14.25" zeroHeight="false" outlineLevelRow="0" outlineLevelCol="0"/>
  <sheetData>
    <row r="1" customFormat="false" ht="14.25" hidden="false" customHeight="false" outlineLevel="0" collapsed="false">
      <c r="A1" s="0" t="s">
        <v>28</v>
      </c>
    </row>
    <row r="2" customFormat="false" ht="14.25" hidden="false" customHeight="false" outlineLevel="0" collapsed="false">
      <c r="A2" s="11" t="n">
        <v>96.8</v>
      </c>
    </row>
    <row r="3" customFormat="false" ht="14.25" hidden="false" customHeight="false" outlineLevel="0" collapsed="false">
      <c r="A3" s="5" t="n">
        <v>111.6</v>
      </c>
    </row>
    <row r="4" customFormat="false" ht="14.25" hidden="false" customHeight="false" outlineLevel="0" collapsed="false">
      <c r="A4" s="5" t="n">
        <v>125</v>
      </c>
    </row>
    <row r="5" customFormat="false" ht="14.25" hidden="false" customHeight="false" outlineLevel="0" collapsed="false">
      <c r="A5" s="5" t="n">
        <v>142.8</v>
      </c>
    </row>
    <row r="6" customFormat="false" ht="14.25" hidden="false" customHeight="false" outlineLevel="0" collapsed="false">
      <c r="A6" s="5" t="n">
        <v>160.8</v>
      </c>
    </row>
    <row r="7" customFormat="false" ht="14.25" hidden="false" customHeight="false" outlineLevel="0" collapsed="false">
      <c r="A7" s="5" t="n">
        <v>178.6</v>
      </c>
    </row>
    <row r="8" customFormat="false" ht="14.25" hidden="false" customHeight="false" outlineLevel="0" collapsed="false">
      <c r="A8" s="5" t="n">
        <v>201</v>
      </c>
    </row>
    <row r="9" customFormat="false" ht="14.25" hidden="false" customHeight="false" outlineLevel="0" collapsed="false">
      <c r="A9" s="5" t="n">
        <v>223.4</v>
      </c>
    </row>
    <row r="10" customFormat="false" ht="14.25" hidden="false" customHeight="false" outlineLevel="0" collapsed="false">
      <c r="A10" s="5" t="n">
        <v>250.4</v>
      </c>
    </row>
    <row r="11" customFormat="false" ht="14.25" hidden="false" customHeight="false" outlineLevel="0" collapsed="false">
      <c r="A11" s="5" t="n">
        <v>314.8</v>
      </c>
    </row>
    <row r="12" customFormat="false" ht="14.25" hidden="false" customHeight="false" outlineLevel="0" collapsed="false">
      <c r="A12" s="5" t="n">
        <v>366</v>
      </c>
    </row>
    <row r="13" customFormat="false" ht="14.25" hidden="false" customHeight="false" outlineLevel="0" collapsed="false">
      <c r="A13" s="5" t="n">
        <v>416.4</v>
      </c>
    </row>
    <row r="14" customFormat="false" ht="14.25" hidden="false" customHeight="false" outlineLevel="0" collapsed="false">
      <c r="A14" s="5" t="n">
        <v>466.8</v>
      </c>
    </row>
    <row r="15" customFormat="false" ht="14.25" hidden="false" customHeight="false" outlineLevel="0" collapsed="false">
      <c r="A15" s="5" t="n">
        <v>518</v>
      </c>
    </row>
    <row r="16" customFormat="false" ht="14.25" hidden="false" customHeight="false" outlineLevel="0" collapsed="false">
      <c r="A16" s="5" t="n">
        <v>619.6</v>
      </c>
    </row>
    <row r="17" customFormat="false" ht="14.25" hidden="false" customHeight="false" outlineLevel="0" collapsed="false">
      <c r="A17" s="5" t="n">
        <v>313.2</v>
      </c>
    </row>
    <row r="18" customFormat="false" ht="14.25" hidden="false" customHeight="false" outlineLevel="0" collapsed="false">
      <c r="A18" s="5" t="n">
        <v>364.4</v>
      </c>
    </row>
    <row r="19" customFormat="false" ht="14.25" hidden="false" customHeight="false" outlineLevel="0" collapsed="false">
      <c r="A19" s="5" t="n">
        <v>414.6</v>
      </c>
    </row>
    <row r="20" customFormat="false" ht="14.25" hidden="false" customHeight="false" outlineLevel="0" collapsed="false">
      <c r="A20" s="5" t="n">
        <v>464.8</v>
      </c>
    </row>
    <row r="21" customFormat="false" ht="14.25" hidden="false" customHeight="false" outlineLevel="0" collapsed="false">
      <c r="A21" s="5" t="n">
        <v>516</v>
      </c>
    </row>
    <row r="22" customFormat="false" ht="14.25" hidden="false" customHeight="false" outlineLevel="0" collapsed="false">
      <c r="A22" s="5" t="n">
        <v>617.4</v>
      </c>
    </row>
    <row r="23" customFormat="false" ht="14.25" hidden="false" customHeight="false" outlineLevel="0" collapsed="false">
      <c r="A23" s="12" t="n">
        <v>700</v>
      </c>
    </row>
    <row r="24" customFormat="false" ht="14.25" hidden="false" customHeight="false" outlineLevel="0" collapsed="false">
      <c r="A24" s="12" t="n">
        <v>800</v>
      </c>
    </row>
    <row r="25" customFormat="false" ht="14.25" hidden="false" customHeight="false" outlineLevel="0" collapsed="false">
      <c r="A25" s="12" t="n">
        <v>900</v>
      </c>
    </row>
    <row r="26" customFormat="false" ht="14.25" hidden="false" customHeight="false" outlineLevel="0" collapsed="false">
      <c r="A26" s="12" t="n">
        <v>1000</v>
      </c>
    </row>
    <row r="27" customFormat="false" ht="14.25" hidden="false" customHeight="false" outlineLevel="0" collapsed="false">
      <c r="A27" s="12" t="n">
        <v>1100</v>
      </c>
    </row>
    <row r="28" customFormat="false" ht="14.25" hidden="false" customHeight="false" outlineLevel="0" collapsed="false">
      <c r="A28" s="12" t="n">
        <v>1200</v>
      </c>
    </row>
    <row r="29" customFormat="false" ht="14.25" hidden="false" customHeight="false" outlineLevel="0" collapsed="false">
      <c r="A29" s="12" t="n">
        <v>1300</v>
      </c>
    </row>
    <row r="30" customFormat="false" ht="14.25" hidden="false" customHeight="false" outlineLevel="0" collapsed="false">
      <c r="A30" s="12" t="n">
        <v>1400</v>
      </c>
    </row>
    <row r="31" customFormat="false" ht="14.25" hidden="false" customHeight="false" outlineLevel="0" collapsed="false">
      <c r="A31" s="12" t="n">
        <v>1500</v>
      </c>
    </row>
    <row r="32" customFormat="false" ht="14.25" hidden="false" customHeight="false" outlineLevel="0" collapsed="false">
      <c r="A32" s="12" t="n">
        <v>1600</v>
      </c>
    </row>
    <row r="33" customFormat="false" ht="14.25" hidden="false" customHeight="false" outlineLevel="0" collapsed="false">
      <c r="A33" s="12" t="n">
        <v>1700</v>
      </c>
    </row>
    <row r="34" customFormat="false" ht="14.25" hidden="false" customHeight="false" outlineLevel="0" collapsed="false">
      <c r="A34" s="12" t="n">
        <v>1800</v>
      </c>
    </row>
    <row r="35" customFormat="false" ht="14.25" hidden="false" customHeight="false" outlineLevel="0" collapsed="false">
      <c r="A35" s="12" t="n">
        <v>1900</v>
      </c>
    </row>
    <row r="36" customFormat="false" ht="14.25" hidden="false" customHeight="false" outlineLevel="0" collapsed="false">
      <c r="A36" s="12" t="n">
        <v>2000</v>
      </c>
    </row>
    <row r="37" customFormat="false" ht="14.25" hidden="false" customHeight="false" outlineLevel="0" collapsed="false">
      <c r="A37" s="12" t="n">
        <v>2100</v>
      </c>
    </row>
    <row r="38" customFormat="false" ht="14.25" hidden="false" customHeight="false" outlineLevel="0" collapsed="false">
      <c r="A38" s="12" t="n">
        <v>2200</v>
      </c>
    </row>
    <row r="39" customFormat="false" ht="14.25" hidden="false" customHeight="false" outlineLevel="0" collapsed="false">
      <c r="A39" s="12" t="n">
        <v>2300</v>
      </c>
    </row>
    <row r="40" customFormat="false" ht="14.25" hidden="false" customHeight="false" outlineLevel="0" collapsed="false">
      <c r="A40" s="12" t="n">
        <v>2400</v>
      </c>
    </row>
    <row r="41" customFormat="false" ht="14.25" hidden="false" customHeight="false" outlineLevel="0" collapsed="false">
      <c r="A41" s="12" t="n">
        <v>2500</v>
      </c>
    </row>
    <row r="42" customFormat="false" ht="14.25" hidden="false" customHeight="false" outlineLevel="0" collapsed="false">
      <c r="A42" s="12" t="n">
        <v>2600</v>
      </c>
    </row>
    <row r="43" customFormat="false" ht="14.25" hidden="false" customHeight="false" outlineLevel="0" collapsed="false">
      <c r="A43" s="12" t="n">
        <v>2700</v>
      </c>
    </row>
    <row r="44" customFormat="false" ht="14.25" hidden="false" customHeight="false" outlineLevel="0" collapsed="false">
      <c r="A44" s="12" t="n">
        <v>2800</v>
      </c>
    </row>
    <row r="45" customFormat="false" ht="14.25" hidden="false" customHeight="false" outlineLevel="0" collapsed="false">
      <c r="A45" s="12" t="n">
        <v>2900</v>
      </c>
    </row>
    <row r="46" customFormat="false" ht="14.25" hidden="false" customHeight="false" outlineLevel="0" collapsed="false">
      <c r="A46" s="12" t="n">
        <v>3000</v>
      </c>
    </row>
    <row r="47" customFormat="false" ht="14.25" hidden="false" customHeight="false" outlineLevel="0" collapsed="false">
      <c r="A47" s="12" t="n">
        <v>3100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2025-04-20T15:00:58Z</dcterms:created>
  <dc:creator>Mohnish Kumar</dc:creator>
  <dc:description/>
  <dc:language>en-US</dc:language>
  <cp:lastModifiedBy/>
  <dcterms:modified xsi:type="dcterms:W3CDTF">2025-04-21T21:04:09Z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